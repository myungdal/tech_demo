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aracters" sheetId="1" r:id="rId1"/>
  </sheets>
  <calcPr calcId="152511"/>
</workbook>
</file>

<file path=xl/calcChain.xml><?xml version="1.0" encoding="utf-8"?>
<calcChain xmlns="http://schemas.openxmlformats.org/spreadsheetml/2006/main">
  <c r="E5" i="1" l="1"/>
  <c r="F5" i="1"/>
  <c r="G5" i="1"/>
  <c r="H5" i="1"/>
  <c r="I5" i="1"/>
  <c r="J5" i="1"/>
  <c r="L5" i="1"/>
  <c r="M5" i="1"/>
  <c r="N5" i="1"/>
  <c r="O5" i="1"/>
  <c r="P5" i="1"/>
  <c r="Q5" i="1"/>
  <c r="R5" i="1"/>
  <c r="S5" i="1"/>
  <c r="T5" i="1"/>
  <c r="D5" i="1"/>
  <c r="G6" i="1"/>
  <c r="G7" i="1" s="1"/>
  <c r="E4" i="1"/>
  <c r="F4" i="1"/>
  <c r="G4" i="1"/>
  <c r="H4" i="1"/>
  <c r="I4" i="1"/>
  <c r="J4" i="1"/>
  <c r="K4" i="1"/>
  <c r="K5" i="1" s="1"/>
  <c r="L4" i="1"/>
  <c r="M4" i="1"/>
  <c r="N4" i="1"/>
  <c r="O4" i="1"/>
  <c r="P4" i="1"/>
  <c r="Q4" i="1"/>
  <c r="R4" i="1"/>
  <c r="S4" i="1"/>
  <c r="T4" i="1"/>
  <c r="D4" i="1"/>
  <c r="I11" i="1"/>
  <c r="I10" i="1"/>
  <c r="E10" i="1" l="1"/>
  <c r="E11" i="1" s="1"/>
  <c r="F10" i="1"/>
  <c r="F11" i="1" s="1"/>
  <c r="G10" i="1"/>
  <c r="G11" i="1" s="1"/>
  <c r="K10" i="1"/>
  <c r="K11" i="1" s="1"/>
  <c r="L10" i="1"/>
  <c r="L11" i="1" s="1"/>
  <c r="M10" i="1"/>
  <c r="M11" i="1" s="1"/>
  <c r="N10" i="1"/>
  <c r="N11" i="1" s="1"/>
  <c r="O10" i="1"/>
  <c r="O11" i="1" s="1"/>
  <c r="P10" i="1"/>
  <c r="P11" i="1" s="1"/>
  <c r="Q10" i="1"/>
  <c r="Q11" i="1" s="1"/>
  <c r="R10" i="1"/>
  <c r="R11" i="1" s="1"/>
  <c r="S10" i="1"/>
  <c r="S11" i="1" s="1"/>
  <c r="T10" i="1"/>
  <c r="T11" i="1" s="1"/>
  <c r="D10" i="1"/>
  <c r="D11" i="1" s="1"/>
</calcChain>
</file>

<file path=xl/sharedStrings.xml><?xml version="1.0" encoding="utf-8"?>
<sst xmlns="http://schemas.openxmlformats.org/spreadsheetml/2006/main" count="94" uniqueCount="51">
  <si>
    <t>warrior</t>
    <phoneticPr fontId="2" type="noConversion"/>
  </si>
  <si>
    <t>archer</t>
    <phoneticPr fontId="2" type="noConversion"/>
  </si>
  <si>
    <t>healer</t>
    <phoneticPr fontId="2" type="noConversion"/>
  </si>
  <si>
    <t>bird</t>
    <phoneticPr fontId="2" type="noConversion"/>
  </si>
  <si>
    <t>bomber</t>
    <phoneticPr fontId="2" type="noConversion"/>
  </si>
  <si>
    <t>giant</t>
    <phoneticPr fontId="2" type="noConversion"/>
  </si>
  <si>
    <t>hammer</t>
    <phoneticPr fontId="2" type="noConversion"/>
  </si>
  <si>
    <t>laser</t>
    <phoneticPr fontId="2" type="noConversion"/>
  </si>
  <si>
    <t>magnet</t>
    <phoneticPr fontId="2" type="noConversion"/>
  </si>
  <si>
    <t>parasite</t>
    <phoneticPr fontId="2" type="noConversion"/>
  </si>
  <si>
    <t>sniper</t>
    <phoneticPr fontId="2" type="noConversion"/>
  </si>
  <si>
    <t>virus</t>
    <phoneticPr fontId="2" type="noConversion"/>
  </si>
  <si>
    <t>snake</t>
    <phoneticPr fontId="2" type="noConversion"/>
  </si>
  <si>
    <t>speed</t>
    <phoneticPr fontId="2" type="noConversion"/>
  </si>
  <si>
    <t>weight</t>
    <phoneticPr fontId="2" type="noConversion"/>
  </si>
  <si>
    <t>force_for_enemy</t>
    <phoneticPr fontId="2" type="noConversion"/>
  </si>
  <si>
    <t>force_for_friend0</t>
    <phoneticPr fontId="2" type="noConversion"/>
  </si>
  <si>
    <t>force_for_friend1</t>
    <phoneticPr fontId="2" type="noConversion"/>
  </si>
  <si>
    <t>force_for_friend2</t>
    <phoneticPr fontId="2" type="noConversion"/>
  </si>
  <si>
    <t>recovery</t>
    <phoneticPr fontId="2" type="noConversion"/>
  </si>
  <si>
    <t>max_life</t>
    <phoneticPr fontId="2" type="noConversion"/>
  </si>
  <si>
    <t>runaway_life</t>
    <phoneticPr fontId="2" type="noConversion"/>
  </si>
  <si>
    <t>recovery_max_life</t>
    <phoneticPr fontId="2" type="noConversion"/>
  </si>
  <si>
    <t>dodge</t>
    <phoneticPr fontId="2" type="noConversion"/>
  </si>
  <si>
    <t>armor</t>
    <phoneticPr fontId="2" type="noConversion"/>
  </si>
  <si>
    <t>stun_resistance</t>
    <phoneticPr fontId="2" type="noConversion"/>
  </si>
  <si>
    <t>enemy_range_near</t>
    <phoneticPr fontId="2" type="noConversion"/>
  </si>
  <si>
    <t>enemy_range_far</t>
    <phoneticPr fontId="2" type="noConversion"/>
  </si>
  <si>
    <t>friend_range_near</t>
    <phoneticPr fontId="2" type="noConversion"/>
  </si>
  <si>
    <t>friend_range_far</t>
    <phoneticPr fontId="2" type="noConversion"/>
  </si>
  <si>
    <t>max_energy</t>
    <phoneticPr fontId="2" type="noConversion"/>
  </si>
  <si>
    <t>require_energy</t>
    <phoneticPr fontId="2" type="noConversion"/>
  </si>
  <si>
    <t>power</t>
    <phoneticPr fontId="2" type="noConversion"/>
  </si>
  <si>
    <t>range</t>
    <phoneticPr fontId="2" type="noConversion"/>
  </si>
  <si>
    <t>pre_delay</t>
    <phoneticPr fontId="2" type="noConversion"/>
  </si>
  <si>
    <t>post_delay</t>
    <phoneticPr fontId="2" type="noConversion"/>
  </si>
  <si>
    <t>accuracy</t>
    <phoneticPr fontId="2" type="noConversion"/>
  </si>
  <si>
    <t>stun_chance</t>
    <phoneticPr fontId="2" type="noConversion"/>
  </si>
  <si>
    <t>characterAttribute</t>
    <phoneticPr fontId="1" type="noConversion"/>
  </si>
  <si>
    <t>skillAttribute</t>
    <phoneticPr fontId="1" type="noConversion"/>
  </si>
  <si>
    <t>key</t>
    <phoneticPr fontId="1" type="noConversion"/>
  </si>
  <si>
    <t>className</t>
    <phoneticPr fontId="1" type="noConversion"/>
  </si>
  <si>
    <t>classIdx</t>
    <phoneticPr fontId="1" type="noConversion"/>
  </si>
  <si>
    <t>dracula</t>
    <phoneticPr fontId="1" type="noConversion"/>
  </si>
  <si>
    <t>spider</t>
    <phoneticPr fontId="1" type="noConversion"/>
  </si>
  <si>
    <t>charging</t>
    <phoneticPr fontId="2" type="noConversion"/>
  </si>
  <si>
    <t>tower</t>
    <phoneticPr fontId="1" type="noConversion"/>
  </si>
  <si>
    <t>spawner</t>
    <phoneticPr fontId="1" type="noConversion"/>
  </si>
  <si>
    <t>electrician</t>
    <phoneticPr fontId="2" type="noConversion"/>
  </si>
  <si>
    <t>bazooka</t>
    <phoneticPr fontId="1" type="noConversion"/>
  </si>
  <si>
    <t>damageRange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</si>
</sst>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workbookViewId="0">
      <selection activeCell="K4" sqref="K4"/>
    </sheetView>
  </sheetViews>
  <sheetFormatPr defaultRowHeight="16.5" x14ac:dyDescent="0.3"/>
  <cols>
    <col min="1" max="1" width="17.5" style="2" customWidth="1"/>
    <col min="2" max="2" width="8.125" style="2" bestFit="1" customWidth="1"/>
    <col min="3" max="3" width="21" style="2" customWidth="1"/>
    <col min="4" max="4" width="7.375" style="2" bestFit="1" customWidth="1"/>
    <col min="5" max="8" width="9" style="2"/>
    <col min="9" max="9" width="8.75" style="2" bestFit="1" customWidth="1"/>
    <col min="10" max="16384" width="9" style="2"/>
  </cols>
  <sheetData>
    <row r="1" spans="1:22" s="1" customFormat="1" ht="17.25" thickBot="1" x14ac:dyDescent="0.35">
      <c r="A1" s="1" t="s">
        <v>41</v>
      </c>
      <c r="B1" s="1" t="s">
        <v>42</v>
      </c>
      <c r="C1" s="1" t="s">
        <v>40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49</v>
      </c>
      <c r="J1" s="1" t="s">
        <v>48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43</v>
      </c>
      <c r="R1" s="1" t="s">
        <v>44</v>
      </c>
      <c r="S1" s="1" t="s">
        <v>11</v>
      </c>
      <c r="T1" s="1" t="s">
        <v>12</v>
      </c>
      <c r="U1" s="1" t="s">
        <v>46</v>
      </c>
      <c r="V1" s="1" t="s">
        <v>47</v>
      </c>
    </row>
    <row r="2" spans="1:22" ht="17.25" thickTop="1" x14ac:dyDescent="0.3">
      <c r="A2" s="2" t="s">
        <v>38</v>
      </c>
      <c r="C2" s="2" t="s">
        <v>13</v>
      </c>
      <c r="D2" s="2">
        <v>0.25</v>
      </c>
      <c r="E2" s="2">
        <v>0.3</v>
      </c>
      <c r="F2" s="2">
        <v>0.27</v>
      </c>
      <c r="G2" s="2">
        <v>0.4</v>
      </c>
      <c r="H2" s="2">
        <v>0.3</v>
      </c>
      <c r="I2" s="2">
        <v>0.27</v>
      </c>
      <c r="J2" s="2">
        <v>0.3</v>
      </c>
      <c r="K2" s="2">
        <v>0.2</v>
      </c>
      <c r="L2" s="2">
        <v>0.27</v>
      </c>
      <c r="M2" s="2">
        <v>0.27</v>
      </c>
      <c r="N2" s="2">
        <v>0.27</v>
      </c>
      <c r="O2" s="2">
        <v>0.27</v>
      </c>
      <c r="P2" s="2">
        <v>0.27</v>
      </c>
      <c r="Q2" s="2">
        <v>0.27</v>
      </c>
      <c r="R2" s="2">
        <v>0.27</v>
      </c>
      <c r="S2" s="2">
        <v>0.27</v>
      </c>
      <c r="T2" s="2">
        <v>0.27</v>
      </c>
      <c r="U2" s="2">
        <v>0</v>
      </c>
      <c r="V2" s="2">
        <v>0</v>
      </c>
    </row>
    <row r="3" spans="1:22" x14ac:dyDescent="0.3">
      <c r="A3" s="2" t="s">
        <v>38</v>
      </c>
      <c r="C3" s="2" t="s">
        <v>14</v>
      </c>
      <c r="D3" s="2">
        <v>5</v>
      </c>
      <c r="E3" s="2">
        <v>4</v>
      </c>
      <c r="F3" s="2">
        <v>4</v>
      </c>
      <c r="G3" s="2">
        <v>3</v>
      </c>
      <c r="H3" s="2">
        <v>4</v>
      </c>
      <c r="I3" s="2">
        <v>4</v>
      </c>
      <c r="J3" s="2">
        <v>4</v>
      </c>
      <c r="K3" s="2">
        <v>7</v>
      </c>
      <c r="L3" s="2">
        <v>6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0</v>
      </c>
      <c r="V3" s="2">
        <v>0</v>
      </c>
    </row>
    <row r="4" spans="1:22" x14ac:dyDescent="0.3">
      <c r="A4" s="2" t="s">
        <v>38</v>
      </c>
      <c r="C4" s="2" t="s">
        <v>15</v>
      </c>
      <c r="D4" s="2">
        <f>D2*7/10</f>
        <v>0.17499999999999999</v>
      </c>
      <c r="E4" s="2">
        <f t="shared" ref="E4:T4" si="0">E2*7/10</f>
        <v>0.21000000000000002</v>
      </c>
      <c r="F4" s="2">
        <f t="shared" si="0"/>
        <v>0.189</v>
      </c>
      <c r="G4" s="2">
        <f t="shared" si="0"/>
        <v>0.28000000000000003</v>
      </c>
      <c r="H4" s="2">
        <f t="shared" si="0"/>
        <v>0.21000000000000002</v>
      </c>
      <c r="I4" s="2">
        <f t="shared" si="0"/>
        <v>0.189</v>
      </c>
      <c r="J4" s="2">
        <f t="shared" si="0"/>
        <v>0.21000000000000002</v>
      </c>
      <c r="K4" s="2">
        <f t="shared" si="0"/>
        <v>0.14000000000000001</v>
      </c>
      <c r="L4" s="2">
        <f t="shared" si="0"/>
        <v>0.189</v>
      </c>
      <c r="M4" s="2">
        <f t="shared" si="0"/>
        <v>0.189</v>
      </c>
      <c r="N4" s="2">
        <f t="shared" si="0"/>
        <v>0.189</v>
      </c>
      <c r="O4" s="2">
        <f t="shared" si="0"/>
        <v>0.189</v>
      </c>
      <c r="P4" s="2">
        <f t="shared" si="0"/>
        <v>0.189</v>
      </c>
      <c r="Q4" s="2">
        <f t="shared" si="0"/>
        <v>0.189</v>
      </c>
      <c r="R4" s="2">
        <f t="shared" si="0"/>
        <v>0.189</v>
      </c>
      <c r="S4" s="2">
        <f t="shared" si="0"/>
        <v>0.189</v>
      </c>
      <c r="T4" s="2">
        <f t="shared" si="0"/>
        <v>0.189</v>
      </c>
      <c r="U4" s="2">
        <v>0</v>
      </c>
      <c r="V4" s="2">
        <v>0</v>
      </c>
    </row>
    <row r="5" spans="1:22" x14ac:dyDescent="0.3">
      <c r="A5" s="2" t="s">
        <v>38</v>
      </c>
      <c r="C5" s="2" t="s">
        <v>16</v>
      </c>
      <c r="D5" s="2">
        <f>D4/5</f>
        <v>3.4999999999999996E-2</v>
      </c>
      <c r="E5" s="2">
        <f t="shared" ref="E5:T5" si="1">E4/5</f>
        <v>4.2000000000000003E-2</v>
      </c>
      <c r="F5" s="2">
        <f t="shared" si="1"/>
        <v>3.78E-2</v>
      </c>
      <c r="G5" s="2">
        <f t="shared" si="1"/>
        <v>5.6000000000000008E-2</v>
      </c>
      <c r="H5" s="2">
        <f t="shared" si="1"/>
        <v>4.2000000000000003E-2</v>
      </c>
      <c r="I5" s="2">
        <f t="shared" si="1"/>
        <v>3.78E-2</v>
      </c>
      <c r="J5" s="2">
        <f t="shared" si="1"/>
        <v>4.2000000000000003E-2</v>
      </c>
      <c r="K5" s="2">
        <f t="shared" si="1"/>
        <v>2.8000000000000004E-2</v>
      </c>
      <c r="L5" s="2">
        <f t="shared" si="1"/>
        <v>3.78E-2</v>
      </c>
      <c r="M5" s="2">
        <f t="shared" si="1"/>
        <v>3.78E-2</v>
      </c>
      <c r="N5" s="2">
        <f t="shared" si="1"/>
        <v>3.78E-2</v>
      </c>
      <c r="O5" s="2">
        <f t="shared" si="1"/>
        <v>3.78E-2</v>
      </c>
      <c r="P5" s="2">
        <f t="shared" si="1"/>
        <v>3.78E-2</v>
      </c>
      <c r="Q5" s="2">
        <f t="shared" si="1"/>
        <v>3.78E-2</v>
      </c>
      <c r="R5" s="2">
        <f t="shared" si="1"/>
        <v>3.78E-2</v>
      </c>
      <c r="S5" s="2">
        <f t="shared" si="1"/>
        <v>3.78E-2</v>
      </c>
      <c r="T5" s="2">
        <f t="shared" si="1"/>
        <v>3.78E-2</v>
      </c>
      <c r="U5" s="2">
        <v>0</v>
      </c>
      <c r="V5" s="2">
        <v>0</v>
      </c>
    </row>
    <row r="6" spans="1:22" x14ac:dyDescent="0.3">
      <c r="A6" s="2" t="s">
        <v>38</v>
      </c>
      <c r="C6" s="2" t="s">
        <v>17</v>
      </c>
      <c r="D6" s="2">
        <v>0</v>
      </c>
      <c r="E6" s="2">
        <v>0</v>
      </c>
      <c r="F6" s="2">
        <v>0</v>
      </c>
      <c r="G6" s="2">
        <f>G5*1.5</f>
        <v>8.4000000000000019E-2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spans="1:22" x14ac:dyDescent="0.3">
      <c r="A7" s="2" t="s">
        <v>38</v>
      </c>
      <c r="C7" s="2" t="s">
        <v>18</v>
      </c>
      <c r="D7" s="2">
        <v>0</v>
      </c>
      <c r="E7" s="2">
        <v>0</v>
      </c>
      <c r="F7" s="2">
        <v>0</v>
      </c>
      <c r="G7" s="2">
        <f>G6*1.5</f>
        <v>0.12600000000000003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2" x14ac:dyDescent="0.3">
      <c r="A8" s="2" t="s">
        <v>38</v>
      </c>
      <c r="C8" s="2" t="s">
        <v>19</v>
      </c>
      <c r="D8" s="2">
        <v>3</v>
      </c>
      <c r="E8" s="2">
        <v>3</v>
      </c>
      <c r="F8" s="2">
        <v>10</v>
      </c>
      <c r="G8" s="2">
        <v>3</v>
      </c>
      <c r="H8" s="2">
        <v>0</v>
      </c>
      <c r="I8" s="2">
        <v>3</v>
      </c>
      <c r="J8" s="2">
        <v>10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0</v>
      </c>
      <c r="V8" s="2">
        <v>0</v>
      </c>
    </row>
    <row r="9" spans="1:22" x14ac:dyDescent="0.3">
      <c r="A9" s="2" t="s">
        <v>38</v>
      </c>
      <c r="C9" s="2" t="s">
        <v>20</v>
      </c>
      <c r="D9" s="2">
        <v>1800</v>
      </c>
      <c r="E9" s="2">
        <v>1200</v>
      </c>
      <c r="F9" s="2">
        <v>1200</v>
      </c>
      <c r="G9" s="2">
        <v>300</v>
      </c>
      <c r="H9" s="2">
        <v>600</v>
      </c>
      <c r="I9" s="2">
        <v>1200</v>
      </c>
      <c r="J9" s="2">
        <v>600</v>
      </c>
      <c r="K9" s="2">
        <v>3000</v>
      </c>
      <c r="L9" s="2">
        <v>1200</v>
      </c>
      <c r="M9" s="2">
        <v>1200</v>
      </c>
      <c r="N9" s="2">
        <v>1200</v>
      </c>
      <c r="O9" s="2">
        <v>1200</v>
      </c>
      <c r="P9" s="2">
        <v>1200</v>
      </c>
      <c r="Q9" s="2">
        <v>1200</v>
      </c>
      <c r="R9" s="2">
        <v>1200</v>
      </c>
      <c r="S9" s="2">
        <v>1200</v>
      </c>
      <c r="T9" s="2">
        <v>1200</v>
      </c>
      <c r="U9" s="2">
        <v>6000</v>
      </c>
      <c r="V9" s="2">
        <v>6000</v>
      </c>
    </row>
    <row r="10" spans="1:22" x14ac:dyDescent="0.3">
      <c r="A10" s="2" t="s">
        <v>38</v>
      </c>
      <c r="C10" s="2" t="s">
        <v>21</v>
      </c>
      <c r="D10" s="2">
        <f>D9/3</f>
        <v>600</v>
      </c>
      <c r="E10" s="2">
        <f t="shared" ref="E10:T10" si="2">E9/3</f>
        <v>400</v>
      </c>
      <c r="F10" s="2">
        <f t="shared" si="2"/>
        <v>400</v>
      </c>
      <c r="G10" s="2">
        <f t="shared" si="2"/>
        <v>100</v>
      </c>
      <c r="H10" s="2">
        <v>0</v>
      </c>
      <c r="I10" s="2">
        <f t="shared" ref="I10" si="3">I9/3</f>
        <v>400</v>
      </c>
      <c r="J10" s="2">
        <v>500</v>
      </c>
      <c r="K10" s="2">
        <f t="shared" si="2"/>
        <v>1000</v>
      </c>
      <c r="L10" s="2">
        <f t="shared" si="2"/>
        <v>400</v>
      </c>
      <c r="M10" s="2">
        <f t="shared" si="2"/>
        <v>400</v>
      </c>
      <c r="N10" s="2">
        <f t="shared" si="2"/>
        <v>400</v>
      </c>
      <c r="O10" s="2">
        <f t="shared" si="2"/>
        <v>400</v>
      </c>
      <c r="P10" s="2">
        <f t="shared" si="2"/>
        <v>400</v>
      </c>
      <c r="Q10" s="2">
        <f t="shared" si="2"/>
        <v>400</v>
      </c>
      <c r="R10" s="2">
        <f t="shared" si="2"/>
        <v>400</v>
      </c>
      <c r="S10" s="2">
        <f t="shared" si="2"/>
        <v>400</v>
      </c>
      <c r="T10" s="2">
        <f t="shared" si="2"/>
        <v>400</v>
      </c>
      <c r="U10" s="2">
        <v>0</v>
      </c>
      <c r="V10" s="2">
        <v>0</v>
      </c>
    </row>
    <row r="11" spans="1:22" x14ac:dyDescent="0.3">
      <c r="A11" s="2" t="s">
        <v>38</v>
      </c>
      <c r="C11" s="2" t="s">
        <v>22</v>
      </c>
      <c r="D11" s="2">
        <f>(D9+D10) /2</f>
        <v>1200</v>
      </c>
      <c r="E11" s="2">
        <f t="shared" ref="E11:T11" si="4">(E9+E10) /2</f>
        <v>800</v>
      </c>
      <c r="F11" s="2">
        <f t="shared" si="4"/>
        <v>800</v>
      </c>
      <c r="G11" s="2">
        <f t="shared" si="4"/>
        <v>200</v>
      </c>
      <c r="H11" s="2">
        <v>0</v>
      </c>
      <c r="I11" s="2">
        <f t="shared" ref="I11" si="5">(I9+I10) /2</f>
        <v>800</v>
      </c>
      <c r="J11" s="2">
        <v>600</v>
      </c>
      <c r="K11" s="2">
        <f t="shared" si="4"/>
        <v>2000</v>
      </c>
      <c r="L11" s="2">
        <f t="shared" si="4"/>
        <v>800</v>
      </c>
      <c r="M11" s="2">
        <f t="shared" si="4"/>
        <v>800</v>
      </c>
      <c r="N11" s="2">
        <f t="shared" si="4"/>
        <v>800</v>
      </c>
      <c r="O11" s="2">
        <f t="shared" si="4"/>
        <v>800</v>
      </c>
      <c r="P11" s="2">
        <f t="shared" si="4"/>
        <v>800</v>
      </c>
      <c r="Q11" s="2">
        <f t="shared" si="4"/>
        <v>800</v>
      </c>
      <c r="R11" s="2">
        <f t="shared" si="4"/>
        <v>800</v>
      </c>
      <c r="S11" s="2">
        <f t="shared" si="4"/>
        <v>800</v>
      </c>
      <c r="T11" s="2">
        <f t="shared" si="4"/>
        <v>800</v>
      </c>
      <c r="U11" s="2">
        <v>0</v>
      </c>
      <c r="V11" s="2">
        <v>0</v>
      </c>
    </row>
    <row r="12" spans="1:22" x14ac:dyDescent="0.3">
      <c r="A12" s="2" t="s">
        <v>38</v>
      </c>
      <c r="C12" s="2" t="s">
        <v>45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10</v>
      </c>
      <c r="J12" s="2">
        <v>10</v>
      </c>
      <c r="K12" s="2">
        <v>10</v>
      </c>
      <c r="L12" s="2">
        <v>10</v>
      </c>
      <c r="M12" s="2">
        <v>10</v>
      </c>
      <c r="N12" s="2">
        <v>10</v>
      </c>
      <c r="O12" s="2">
        <v>10</v>
      </c>
      <c r="P12" s="2">
        <v>10</v>
      </c>
      <c r="Q12" s="2">
        <v>10</v>
      </c>
      <c r="R12" s="2">
        <v>10</v>
      </c>
      <c r="S12" s="2">
        <v>10</v>
      </c>
      <c r="T12" s="2">
        <v>10</v>
      </c>
      <c r="U12" s="2">
        <v>10</v>
      </c>
      <c r="V12" s="2">
        <v>10</v>
      </c>
    </row>
    <row r="13" spans="1:22" x14ac:dyDescent="0.3">
      <c r="A13" s="2" t="s">
        <v>38</v>
      </c>
      <c r="C13" s="2" t="s">
        <v>23</v>
      </c>
      <c r="D13" s="2">
        <v>0.1</v>
      </c>
      <c r="E13" s="2">
        <v>0.3</v>
      </c>
      <c r="F13" s="2">
        <v>0.3</v>
      </c>
      <c r="G13" s="2">
        <v>0</v>
      </c>
      <c r="H13" s="2">
        <v>0.1</v>
      </c>
      <c r="I13" s="2">
        <v>0.1</v>
      </c>
      <c r="J13" s="2">
        <v>0.1</v>
      </c>
      <c r="K13" s="2">
        <v>0.1</v>
      </c>
      <c r="L13" s="2">
        <v>0.1</v>
      </c>
      <c r="M13" s="2">
        <v>0.1</v>
      </c>
      <c r="N13" s="2">
        <v>0.1</v>
      </c>
      <c r="O13" s="2">
        <v>0.1</v>
      </c>
      <c r="P13" s="2">
        <v>0.1</v>
      </c>
      <c r="Q13" s="2">
        <v>0.1</v>
      </c>
      <c r="R13" s="2">
        <v>0.1</v>
      </c>
      <c r="S13" s="2">
        <v>0.1</v>
      </c>
      <c r="T13" s="2">
        <v>0.1</v>
      </c>
      <c r="U13" s="2">
        <v>0</v>
      </c>
      <c r="V13" s="2">
        <v>0</v>
      </c>
    </row>
    <row r="14" spans="1:22" x14ac:dyDescent="0.3">
      <c r="A14" s="2" t="s">
        <v>38</v>
      </c>
      <c r="C14" s="2" t="s">
        <v>24</v>
      </c>
      <c r="D14" s="4">
        <v>0.8</v>
      </c>
      <c r="E14" s="4">
        <v>0.1</v>
      </c>
      <c r="F14" s="4">
        <v>0.1</v>
      </c>
      <c r="G14" s="4">
        <v>0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4">
        <v>0.1</v>
      </c>
      <c r="N14" s="4">
        <v>0.1</v>
      </c>
      <c r="O14" s="2">
        <v>0.1</v>
      </c>
      <c r="P14" s="2">
        <v>0.1</v>
      </c>
      <c r="Q14" s="2">
        <v>0.1</v>
      </c>
      <c r="R14" s="2">
        <v>0.1</v>
      </c>
      <c r="S14" s="2">
        <v>0.1</v>
      </c>
      <c r="T14" s="2">
        <v>0.1</v>
      </c>
      <c r="U14" s="2">
        <v>0.9</v>
      </c>
      <c r="V14" s="2">
        <v>0.9</v>
      </c>
    </row>
    <row r="15" spans="1:22" x14ac:dyDescent="0.3">
      <c r="A15" s="2" t="s">
        <v>38</v>
      </c>
      <c r="C15" s="2" t="s">
        <v>25</v>
      </c>
      <c r="D15" s="4">
        <v>0.9</v>
      </c>
      <c r="E15" s="4">
        <v>0.5</v>
      </c>
      <c r="F15" s="4">
        <v>0.5</v>
      </c>
      <c r="G15" s="4">
        <v>1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4">
        <v>0.1</v>
      </c>
      <c r="N15" s="4">
        <v>0.1</v>
      </c>
      <c r="O15" s="2">
        <v>0.1</v>
      </c>
      <c r="P15" s="2">
        <v>0.1</v>
      </c>
      <c r="Q15" s="2">
        <v>0.1</v>
      </c>
      <c r="R15" s="2">
        <v>0.1</v>
      </c>
      <c r="S15" s="2">
        <v>0.1</v>
      </c>
      <c r="T15" s="2">
        <v>0.1</v>
      </c>
      <c r="U15" s="2">
        <v>1</v>
      </c>
      <c r="V15" s="2">
        <v>1</v>
      </c>
    </row>
    <row r="16" spans="1:22" x14ac:dyDescent="0.3">
      <c r="A16" s="2" t="s">
        <v>38</v>
      </c>
      <c r="C16" s="2" t="s">
        <v>26</v>
      </c>
      <c r="D16" s="4">
        <v>30</v>
      </c>
      <c r="E16" s="4">
        <v>80</v>
      </c>
      <c r="F16" s="4">
        <v>100</v>
      </c>
      <c r="G16" s="4">
        <v>10</v>
      </c>
      <c r="H16" s="4">
        <v>10</v>
      </c>
      <c r="I16" s="4">
        <v>130</v>
      </c>
      <c r="J16" s="4">
        <v>50</v>
      </c>
      <c r="K16" s="4">
        <v>30</v>
      </c>
      <c r="L16" s="4">
        <v>40</v>
      </c>
      <c r="M16" s="4">
        <v>60</v>
      </c>
      <c r="N16" s="4">
        <v>130</v>
      </c>
      <c r="O16" s="2">
        <v>50</v>
      </c>
      <c r="P16" s="2">
        <v>180</v>
      </c>
      <c r="Q16" s="2">
        <v>50</v>
      </c>
      <c r="R16" s="2">
        <v>30</v>
      </c>
      <c r="S16" s="2">
        <v>50</v>
      </c>
      <c r="T16" s="2">
        <v>50</v>
      </c>
      <c r="U16" s="2">
        <v>0</v>
      </c>
      <c r="V16" s="2">
        <v>0</v>
      </c>
    </row>
    <row r="17" spans="1:22" x14ac:dyDescent="0.3">
      <c r="A17" s="2" t="s">
        <v>38</v>
      </c>
      <c r="C17" s="2" t="s">
        <v>27</v>
      </c>
      <c r="D17" s="4">
        <v>40</v>
      </c>
      <c r="E17" s="4">
        <v>100</v>
      </c>
      <c r="F17" s="4">
        <v>120</v>
      </c>
      <c r="G17" s="4">
        <v>20</v>
      </c>
      <c r="H17" s="4">
        <v>20</v>
      </c>
      <c r="I17" s="4">
        <v>150</v>
      </c>
      <c r="J17" s="4">
        <v>70</v>
      </c>
      <c r="K17" s="4">
        <v>40</v>
      </c>
      <c r="L17" s="4">
        <v>50</v>
      </c>
      <c r="M17" s="4">
        <v>80</v>
      </c>
      <c r="N17" s="4">
        <v>150</v>
      </c>
      <c r="O17" s="2">
        <v>70</v>
      </c>
      <c r="P17" s="2">
        <v>200</v>
      </c>
      <c r="Q17" s="2">
        <v>70</v>
      </c>
      <c r="R17" s="2">
        <v>100</v>
      </c>
      <c r="S17" s="2">
        <v>70</v>
      </c>
      <c r="T17" s="2">
        <v>70</v>
      </c>
      <c r="U17" s="2">
        <v>0</v>
      </c>
      <c r="V17" s="2">
        <v>0</v>
      </c>
    </row>
    <row r="18" spans="1:22" x14ac:dyDescent="0.3">
      <c r="A18" s="2" t="s">
        <v>38</v>
      </c>
      <c r="C18" s="2" t="s">
        <v>28</v>
      </c>
      <c r="D18" s="2">
        <v>30</v>
      </c>
      <c r="E18" s="2">
        <v>30</v>
      </c>
      <c r="F18" s="2">
        <v>30</v>
      </c>
      <c r="G18" s="2">
        <v>10</v>
      </c>
      <c r="H18" s="2">
        <v>50</v>
      </c>
      <c r="I18" s="2">
        <v>30</v>
      </c>
      <c r="J18" s="2">
        <v>30</v>
      </c>
      <c r="K18" s="2">
        <v>30</v>
      </c>
      <c r="L18" s="2">
        <v>30</v>
      </c>
      <c r="M18" s="2">
        <v>30</v>
      </c>
      <c r="N18" s="2">
        <v>30</v>
      </c>
      <c r="O18" s="2">
        <v>30</v>
      </c>
      <c r="P18" s="2">
        <v>30</v>
      </c>
      <c r="Q18" s="2">
        <v>30</v>
      </c>
      <c r="R18" s="2">
        <v>30</v>
      </c>
      <c r="S18" s="2">
        <v>30</v>
      </c>
      <c r="T18" s="2">
        <v>30</v>
      </c>
      <c r="U18" s="2">
        <v>0</v>
      </c>
      <c r="V18" s="2">
        <v>0</v>
      </c>
    </row>
    <row r="19" spans="1:22" s="3" customFormat="1" x14ac:dyDescent="0.3">
      <c r="A19" s="3" t="s">
        <v>38</v>
      </c>
      <c r="C19" s="3" t="s">
        <v>29</v>
      </c>
      <c r="D19" s="3">
        <v>40</v>
      </c>
      <c r="E19" s="3">
        <v>40</v>
      </c>
      <c r="F19" s="3">
        <v>40</v>
      </c>
      <c r="G19" s="3">
        <v>20</v>
      </c>
      <c r="H19" s="3">
        <v>70</v>
      </c>
      <c r="I19" s="3">
        <v>40</v>
      </c>
      <c r="J19" s="3">
        <v>40</v>
      </c>
      <c r="K19" s="3">
        <v>40</v>
      </c>
      <c r="L19" s="3">
        <v>40</v>
      </c>
      <c r="M19" s="3">
        <v>40</v>
      </c>
      <c r="N19" s="3">
        <v>40</v>
      </c>
      <c r="O19" s="3">
        <v>40</v>
      </c>
      <c r="P19" s="3">
        <v>40</v>
      </c>
      <c r="Q19" s="3">
        <v>40</v>
      </c>
      <c r="R19" s="3">
        <v>40</v>
      </c>
      <c r="S19" s="3">
        <v>40</v>
      </c>
      <c r="T19" s="3">
        <v>40</v>
      </c>
      <c r="U19" s="3">
        <v>0</v>
      </c>
      <c r="V19" s="3">
        <v>0</v>
      </c>
    </row>
    <row r="20" spans="1:22" x14ac:dyDescent="0.3">
      <c r="A20" s="2" t="s">
        <v>39</v>
      </c>
      <c r="B20" s="2">
        <v>0</v>
      </c>
      <c r="C20" s="2" t="s">
        <v>30</v>
      </c>
      <c r="D20" s="2">
        <v>200</v>
      </c>
      <c r="E20" s="2">
        <v>200</v>
      </c>
      <c r="F20" s="2">
        <v>200</v>
      </c>
      <c r="G20" s="2">
        <v>100</v>
      </c>
      <c r="H20" s="2">
        <v>0</v>
      </c>
      <c r="I20" s="2">
        <v>1000</v>
      </c>
      <c r="J20" s="2">
        <v>200</v>
      </c>
      <c r="K20" s="2">
        <v>500</v>
      </c>
      <c r="L20" s="2">
        <v>200</v>
      </c>
      <c r="M20" s="2">
        <v>100</v>
      </c>
      <c r="N20" s="2">
        <v>0</v>
      </c>
      <c r="O20" s="2">
        <v>1000</v>
      </c>
      <c r="P20" s="2">
        <v>500</v>
      </c>
      <c r="Q20" s="2">
        <v>500</v>
      </c>
      <c r="R20" s="2">
        <v>500</v>
      </c>
      <c r="S20" s="2">
        <v>500</v>
      </c>
      <c r="T20" s="2">
        <v>500</v>
      </c>
      <c r="U20" s="2">
        <v>200</v>
      </c>
    </row>
    <row r="21" spans="1:22" x14ac:dyDescent="0.3">
      <c r="A21" s="2" t="s">
        <v>39</v>
      </c>
      <c r="B21" s="2">
        <v>0</v>
      </c>
      <c r="C21" s="2" t="s">
        <v>31</v>
      </c>
      <c r="D21" s="2">
        <v>200</v>
      </c>
      <c r="E21" s="2">
        <v>200</v>
      </c>
      <c r="F21" s="2">
        <v>200</v>
      </c>
      <c r="G21" s="2">
        <v>100</v>
      </c>
      <c r="H21" s="2">
        <v>0</v>
      </c>
      <c r="I21" s="2">
        <v>1000</v>
      </c>
      <c r="J21" s="2">
        <v>200</v>
      </c>
      <c r="K21" s="2">
        <v>500</v>
      </c>
      <c r="L21" s="2">
        <v>200</v>
      </c>
      <c r="M21" s="2">
        <v>100</v>
      </c>
      <c r="N21" s="2">
        <v>0</v>
      </c>
      <c r="O21" s="2">
        <v>1000</v>
      </c>
      <c r="P21" s="2">
        <v>500</v>
      </c>
      <c r="Q21" s="2">
        <v>500</v>
      </c>
      <c r="R21" s="2">
        <v>500</v>
      </c>
      <c r="S21" s="2">
        <v>500</v>
      </c>
      <c r="T21" s="2">
        <v>500</v>
      </c>
      <c r="U21" s="2">
        <v>200</v>
      </c>
    </row>
    <row r="22" spans="1:22" x14ac:dyDescent="0.3">
      <c r="A22" s="2" t="s">
        <v>39</v>
      </c>
      <c r="B22" s="2">
        <v>0</v>
      </c>
      <c r="C22" s="2" t="s">
        <v>32</v>
      </c>
      <c r="D22" s="2">
        <v>1000</v>
      </c>
      <c r="E22" s="2">
        <v>1000</v>
      </c>
      <c r="F22" s="2">
        <v>500</v>
      </c>
      <c r="G22" s="2">
        <v>200</v>
      </c>
      <c r="H22" s="2">
        <v>3000</v>
      </c>
      <c r="I22" s="2">
        <v>3000</v>
      </c>
      <c r="J22" s="2">
        <v>0</v>
      </c>
      <c r="K22" s="2">
        <v>3000</v>
      </c>
      <c r="L22" s="2">
        <v>1000</v>
      </c>
      <c r="M22" s="2">
        <v>1000</v>
      </c>
      <c r="N22" s="2">
        <v>0</v>
      </c>
      <c r="O22" s="2">
        <v>0</v>
      </c>
      <c r="P22" s="2">
        <v>3000</v>
      </c>
      <c r="Q22" s="2">
        <v>1000</v>
      </c>
      <c r="R22" s="2">
        <v>1000</v>
      </c>
      <c r="S22" s="2">
        <v>0</v>
      </c>
      <c r="T22" s="2">
        <v>1000</v>
      </c>
      <c r="U22" s="2">
        <v>1000</v>
      </c>
    </row>
    <row r="23" spans="1:22" x14ac:dyDescent="0.3">
      <c r="A23" s="2" t="s">
        <v>39</v>
      </c>
      <c r="B23" s="2">
        <v>0</v>
      </c>
      <c r="C23" s="2" t="s">
        <v>33</v>
      </c>
      <c r="D23" s="2">
        <v>20</v>
      </c>
      <c r="E23" s="2">
        <v>100</v>
      </c>
      <c r="F23" s="2">
        <v>100</v>
      </c>
      <c r="G23" s="2">
        <v>20</v>
      </c>
      <c r="H23" s="2">
        <v>0</v>
      </c>
      <c r="I23" s="2">
        <v>150</v>
      </c>
      <c r="J23" s="2">
        <v>80</v>
      </c>
      <c r="K23" s="2">
        <v>20</v>
      </c>
      <c r="L23" s="2">
        <v>50</v>
      </c>
      <c r="M23" s="2">
        <v>70</v>
      </c>
      <c r="N23" s="2">
        <v>150</v>
      </c>
      <c r="O23" s="2">
        <v>60</v>
      </c>
      <c r="P23" s="2">
        <v>200</v>
      </c>
      <c r="Q23" s="2">
        <v>70</v>
      </c>
      <c r="R23" s="2">
        <v>200</v>
      </c>
      <c r="S23" s="2">
        <v>100</v>
      </c>
      <c r="T23" s="2">
        <v>100</v>
      </c>
      <c r="U23" s="2">
        <v>100</v>
      </c>
    </row>
    <row r="24" spans="1:22" x14ac:dyDescent="0.3">
      <c r="A24" s="2" t="s">
        <v>39</v>
      </c>
      <c r="B24" s="2">
        <v>0</v>
      </c>
      <c r="C24" s="2" t="s">
        <v>50</v>
      </c>
      <c r="D24" s="2">
        <v>50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100</v>
      </c>
      <c r="L24" s="2">
        <v>100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2" x14ac:dyDescent="0.3">
      <c r="A25" s="2" t="s">
        <v>39</v>
      </c>
      <c r="B25" s="2">
        <v>0</v>
      </c>
      <c r="C25" s="2" t="s">
        <v>34</v>
      </c>
      <c r="D25" s="2">
        <v>5</v>
      </c>
      <c r="E25" s="2">
        <v>5</v>
      </c>
      <c r="F25" s="2">
        <v>5</v>
      </c>
      <c r="G25" s="2">
        <v>5</v>
      </c>
      <c r="H25" s="2">
        <v>0</v>
      </c>
      <c r="I25" s="2">
        <v>5</v>
      </c>
      <c r="J25" s="2">
        <v>10</v>
      </c>
      <c r="K25" s="2">
        <v>30</v>
      </c>
      <c r="L25" s="2">
        <v>10</v>
      </c>
      <c r="M25" s="2">
        <v>5</v>
      </c>
      <c r="N25" s="2">
        <v>5</v>
      </c>
      <c r="O25" s="2">
        <v>50</v>
      </c>
      <c r="P25" s="2">
        <v>50</v>
      </c>
      <c r="Q25" s="2">
        <v>30</v>
      </c>
      <c r="R25" s="2">
        <v>30</v>
      </c>
      <c r="S25" s="2">
        <v>30</v>
      </c>
      <c r="T25" s="2">
        <v>30</v>
      </c>
      <c r="U25" s="2">
        <v>5</v>
      </c>
    </row>
    <row r="26" spans="1:22" x14ac:dyDescent="0.3">
      <c r="A26" s="2" t="s">
        <v>39</v>
      </c>
      <c r="B26" s="2">
        <v>0</v>
      </c>
      <c r="C26" s="2" t="s">
        <v>35</v>
      </c>
      <c r="D26" s="2">
        <v>10</v>
      </c>
      <c r="E26" s="2">
        <v>20</v>
      </c>
      <c r="F26" s="2">
        <v>20</v>
      </c>
      <c r="G26" s="2">
        <v>5</v>
      </c>
      <c r="H26" s="2">
        <v>0</v>
      </c>
      <c r="I26" s="2">
        <v>30</v>
      </c>
      <c r="J26" s="2">
        <v>10</v>
      </c>
      <c r="K26" s="2">
        <v>30</v>
      </c>
      <c r="L26" s="2">
        <v>10</v>
      </c>
      <c r="M26" s="2">
        <v>5</v>
      </c>
      <c r="N26" s="2">
        <v>30</v>
      </c>
      <c r="O26" s="2">
        <v>50</v>
      </c>
      <c r="P26" s="2">
        <v>50</v>
      </c>
      <c r="Q26" s="2">
        <v>30</v>
      </c>
      <c r="R26" s="2">
        <v>30</v>
      </c>
      <c r="S26" s="2">
        <v>30</v>
      </c>
      <c r="T26" s="2">
        <v>30</v>
      </c>
      <c r="U26" s="2">
        <v>5</v>
      </c>
    </row>
    <row r="27" spans="1:22" x14ac:dyDescent="0.3">
      <c r="A27" s="2" t="s">
        <v>39</v>
      </c>
      <c r="B27" s="2">
        <v>0</v>
      </c>
      <c r="C27" s="2" t="s">
        <v>36</v>
      </c>
      <c r="D27" s="2">
        <v>0.7</v>
      </c>
      <c r="E27" s="2">
        <v>0.5</v>
      </c>
      <c r="F27" s="2">
        <v>1</v>
      </c>
      <c r="G27" s="2">
        <v>1</v>
      </c>
      <c r="H27" s="2">
        <v>0</v>
      </c>
      <c r="I27" s="2">
        <v>1</v>
      </c>
      <c r="J27" s="2">
        <v>0.7</v>
      </c>
      <c r="K27" s="2">
        <v>0.7</v>
      </c>
      <c r="L27" s="2">
        <v>0.9</v>
      </c>
      <c r="M27" s="2">
        <v>0.9</v>
      </c>
      <c r="N27" s="2">
        <v>1</v>
      </c>
      <c r="O27" s="2">
        <v>0.7</v>
      </c>
      <c r="P27" s="2">
        <v>0.7</v>
      </c>
      <c r="Q27" s="2">
        <v>0.5</v>
      </c>
      <c r="R27" s="2">
        <v>0.5</v>
      </c>
      <c r="S27" s="2">
        <v>1</v>
      </c>
      <c r="T27" s="2">
        <v>0.7</v>
      </c>
      <c r="U27" s="2">
        <v>0.5</v>
      </c>
    </row>
    <row r="28" spans="1:22" s="3" customFormat="1" x14ac:dyDescent="0.3">
      <c r="A28" s="3" t="s">
        <v>39</v>
      </c>
      <c r="B28" s="3">
        <v>0</v>
      </c>
      <c r="C28" s="3" t="s">
        <v>37</v>
      </c>
      <c r="D28" s="3">
        <v>0.5</v>
      </c>
      <c r="E28" s="3">
        <v>0.1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0.5</v>
      </c>
      <c r="L28" s="3">
        <v>1</v>
      </c>
      <c r="M28" s="3">
        <v>0</v>
      </c>
      <c r="N28" s="3">
        <v>0</v>
      </c>
      <c r="O28" s="3">
        <v>0.5</v>
      </c>
      <c r="P28" s="3">
        <v>0.5</v>
      </c>
      <c r="Q28" s="3">
        <v>0.1</v>
      </c>
      <c r="R28" s="3">
        <v>0.1</v>
      </c>
      <c r="S28" s="3">
        <v>1</v>
      </c>
      <c r="T28" s="3">
        <v>0.5</v>
      </c>
      <c r="U28" s="3">
        <v>0.1</v>
      </c>
    </row>
    <row r="29" spans="1:22" x14ac:dyDescent="0.3">
      <c r="A29" s="2" t="s">
        <v>39</v>
      </c>
      <c r="B29" s="2">
        <v>1</v>
      </c>
      <c r="C29" s="2" t="s">
        <v>30</v>
      </c>
      <c r="D29" s="2">
        <v>3000</v>
      </c>
      <c r="Q29" s="2">
        <v>700</v>
      </c>
      <c r="R29" s="2">
        <v>300</v>
      </c>
    </row>
    <row r="30" spans="1:22" x14ac:dyDescent="0.3">
      <c r="A30" s="2" t="s">
        <v>39</v>
      </c>
      <c r="B30" s="2">
        <v>1</v>
      </c>
      <c r="C30" s="2" t="s">
        <v>31</v>
      </c>
      <c r="D30" s="2">
        <v>3000</v>
      </c>
      <c r="Q30" s="2">
        <v>700</v>
      </c>
      <c r="R30" s="2">
        <v>300</v>
      </c>
    </row>
    <row r="31" spans="1:22" x14ac:dyDescent="0.3">
      <c r="A31" s="2" t="s">
        <v>39</v>
      </c>
      <c r="B31" s="2">
        <v>1</v>
      </c>
      <c r="C31" s="2" t="s">
        <v>32</v>
      </c>
      <c r="D31" s="2">
        <v>0</v>
      </c>
      <c r="Q31" s="2">
        <v>0</v>
      </c>
      <c r="R31" s="2">
        <v>0</v>
      </c>
    </row>
    <row r="32" spans="1:22" x14ac:dyDescent="0.3">
      <c r="A32" s="2" t="s">
        <v>39</v>
      </c>
      <c r="B32" s="2">
        <v>1</v>
      </c>
      <c r="C32" s="2" t="s">
        <v>33</v>
      </c>
      <c r="D32" s="2">
        <v>80</v>
      </c>
      <c r="Q32" s="2">
        <v>70</v>
      </c>
      <c r="R32" s="2">
        <v>200</v>
      </c>
    </row>
    <row r="33" spans="1:18" x14ac:dyDescent="0.3">
      <c r="A33" s="2" t="s">
        <v>39</v>
      </c>
      <c r="B33" s="2">
        <v>1</v>
      </c>
      <c r="C33" s="2" t="s">
        <v>50</v>
      </c>
      <c r="D33" s="2">
        <v>0</v>
      </c>
      <c r="Q33" s="2">
        <v>0</v>
      </c>
      <c r="R33" s="2">
        <v>0</v>
      </c>
    </row>
    <row r="34" spans="1:18" x14ac:dyDescent="0.3">
      <c r="A34" s="2" t="s">
        <v>39</v>
      </c>
      <c r="B34" s="2">
        <v>1</v>
      </c>
      <c r="C34" s="2" t="s">
        <v>34</v>
      </c>
      <c r="D34" s="2">
        <v>20</v>
      </c>
      <c r="Q34" s="2">
        <v>0</v>
      </c>
      <c r="R34" s="2">
        <v>0</v>
      </c>
    </row>
    <row r="35" spans="1:18" x14ac:dyDescent="0.3">
      <c r="A35" s="2" t="s">
        <v>39</v>
      </c>
      <c r="B35" s="2">
        <v>1</v>
      </c>
      <c r="C35" s="2" t="s">
        <v>35</v>
      </c>
      <c r="D35" s="2">
        <v>20</v>
      </c>
      <c r="Q35" s="2">
        <v>0</v>
      </c>
      <c r="R35" s="2">
        <v>0</v>
      </c>
    </row>
    <row r="36" spans="1:18" x14ac:dyDescent="0.3">
      <c r="A36" s="2" t="s">
        <v>39</v>
      </c>
      <c r="B36" s="2">
        <v>1</v>
      </c>
      <c r="C36" s="2" t="s">
        <v>36</v>
      </c>
      <c r="D36" s="2">
        <v>0</v>
      </c>
      <c r="Q36" s="2">
        <v>1</v>
      </c>
      <c r="R36" s="2">
        <v>1</v>
      </c>
    </row>
    <row r="37" spans="1:18" x14ac:dyDescent="0.3">
      <c r="A37" s="2" t="s">
        <v>39</v>
      </c>
      <c r="B37" s="2">
        <v>1</v>
      </c>
      <c r="C37" s="2" t="s">
        <v>37</v>
      </c>
      <c r="D37" s="2">
        <v>0</v>
      </c>
      <c r="Q37" s="2">
        <v>1</v>
      </c>
      <c r="R37" s="2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2019-06-19T23:56:56Z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0bf9d7ca-072d-412c-bb33-7d9d6570f094</vt:lpwstr>
  </property>
</Properties>
</file>